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5" codeName="{37E998C4-C9E5-D4B9-71C8-EB1FF731991C}"/>
  <workbookPr filterPrivacy="1" codeName="ThisWorkbook"/>
  <bookViews>
    <workbookView xWindow="0" yWindow="0" windowWidth="19420" windowHeight="11020"/>
  </bookViews>
  <sheets>
    <sheet name="Sheet1" sheetId="1" r:id="rId1"/>
  </sheets>
  <functionGroups/>
  <calcPr calcId="124519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" i="1"/>
  <c r="N15"/>
  <c r="C15" l="1"/>
  <c r="Q8"/>
  <c r="J13"/>
  <c r="J23" s="1"/>
  <c r="M15"/>
  <c r="L15"/>
  <c r="K15"/>
  <c r="J15"/>
  <c r="I15"/>
  <c r="H15"/>
  <c r="G15"/>
  <c r="F15"/>
  <c r="E15"/>
  <c r="D15"/>
  <c r="C10"/>
  <c r="O19"/>
  <c r="O24"/>
  <c r="J24"/>
  <c r="N16" l="1"/>
  <c r="L13"/>
  <c r="L23" s="1"/>
  <c r="K13"/>
  <c r="K23" s="1"/>
  <c r="E13"/>
  <c r="F13"/>
  <c r="F23" s="1"/>
  <c r="N13"/>
  <c r="N23" s="1"/>
  <c r="C13"/>
  <c r="C23" s="1"/>
  <c r="D13"/>
  <c r="M13"/>
  <c r="M23" s="1"/>
  <c r="G13"/>
  <c r="G23" s="1"/>
  <c r="H13"/>
  <c r="H23" s="1"/>
  <c r="I13"/>
  <c r="I23" s="1"/>
  <c r="D16"/>
  <c r="C16"/>
  <c r="L16"/>
  <c r="K16"/>
  <c r="E16"/>
  <c r="F16"/>
  <c r="H16"/>
  <c r="M16"/>
  <c r="I16"/>
  <c r="G16"/>
  <c r="J16"/>
  <c r="D10"/>
  <c r="I24"/>
  <c r="N24"/>
  <c r="G24"/>
  <c r="L24"/>
  <c r="K24"/>
  <c r="H24"/>
  <c r="C24"/>
  <c r="F24"/>
  <c r="M24"/>
  <c r="D23" l="1"/>
  <c r="E23"/>
  <c r="C14"/>
  <c r="C17" s="1"/>
  <c r="E10"/>
  <c r="C18"/>
  <c r="E24"/>
  <c r="D24"/>
  <c r="D14" l="1"/>
  <c r="E14" s="1"/>
  <c r="F14" s="1"/>
  <c r="G14" s="1"/>
  <c r="H14" s="1"/>
  <c r="I14" s="1"/>
  <c r="J14" s="1"/>
  <c r="K14" s="1"/>
  <c r="L14" s="1"/>
  <c r="M14" s="1"/>
  <c r="N14" s="1"/>
  <c r="Q24"/>
  <c r="C19"/>
  <c r="F10"/>
  <c r="E17" l="1"/>
  <c r="D17"/>
  <c r="F17"/>
  <c r="G10"/>
  <c r="D18"/>
  <c r="E18"/>
  <c r="F18"/>
  <c r="D19" l="1"/>
  <c r="E19" s="1"/>
  <c r="F19" s="1"/>
  <c r="H10"/>
  <c r="G17"/>
  <c r="G18"/>
  <c r="G19" l="1"/>
  <c r="I10"/>
  <c r="H17"/>
  <c r="H18"/>
  <c r="H19" l="1"/>
  <c r="J10"/>
  <c r="I17"/>
  <c r="I18"/>
  <c r="I19" l="1"/>
  <c r="K10"/>
  <c r="J17"/>
  <c r="J18"/>
  <c r="J19" l="1"/>
  <c r="L10"/>
  <c r="M10" s="1"/>
  <c r="N10" s="1"/>
  <c r="N17" s="1"/>
  <c r="K17"/>
  <c r="N18"/>
  <c r="K18"/>
  <c r="K19" l="1"/>
  <c r="L17"/>
  <c r="L18"/>
  <c r="L19" l="1"/>
  <c r="M17"/>
  <c r="M18"/>
  <c r="M19" l="1"/>
  <c r="N19" s="1"/>
  <c r="Q19" s="1"/>
</calcChain>
</file>

<file path=xl/sharedStrings.xml><?xml version="1.0" encoding="utf-8"?>
<sst xmlns="http://schemas.openxmlformats.org/spreadsheetml/2006/main" count="56" uniqueCount="52">
  <si>
    <t>子女教育</t>
  </si>
  <si>
    <t>继续教育</t>
  </si>
  <si>
    <t>一月</t>
  </si>
  <si>
    <t>二月</t>
  </si>
  <si>
    <t>三月</t>
  </si>
  <si>
    <t>五月</t>
  </si>
  <si>
    <t>六月</t>
  </si>
  <si>
    <t>七月</t>
  </si>
  <si>
    <t>八月</t>
  </si>
  <si>
    <t>九月</t>
  </si>
  <si>
    <t>十月</t>
  </si>
  <si>
    <t>十一月</t>
  </si>
  <si>
    <t>十二月</t>
  </si>
  <si>
    <t>年终优惠</t>
  </si>
  <si>
    <t>总计</t>
  </si>
  <si>
    <t>累计收入</t>
  </si>
  <si>
    <t>当月税前收入</t>
  </si>
  <si>
    <t>本月应纳税额</t>
  </si>
  <si>
    <t>累计免税收入</t>
  </si>
  <si>
    <t>累计专项扣除</t>
  </si>
  <si>
    <t>年度累计应税所得</t>
  </si>
  <si>
    <t>迄今年度应纳税总额</t>
  </si>
  <si>
    <t>当月应税所得</t>
  </si>
  <si>
    <t>奖金计入</t>
  </si>
  <si>
    <t>当月免税收入(基本减除费用)</t>
  </si>
  <si>
    <t>当月专项扣除（三险一金）</t>
  </si>
  <si>
    <t>当月专项附加扣除（养老等其它）</t>
  </si>
  <si>
    <t>累计专项附加扣除</t>
  </si>
  <si>
    <t>大病医疗</t>
  </si>
  <si>
    <t>住房贷款</t>
  </si>
  <si>
    <t>住房租金</t>
  </si>
  <si>
    <t>赡养老人</t>
  </si>
  <si>
    <t>1000 * N</t>
  </si>
  <si>
    <t>养老保险</t>
  </si>
  <si>
    <t>医疗保险</t>
  </si>
  <si>
    <t>失业保险</t>
  </si>
  <si>
    <t>住房公积金</t>
  </si>
  <si>
    <t>合计比例</t>
  </si>
  <si>
    <t>实际缴纳</t>
  </si>
  <si>
    <t>实际抵扣</t>
  </si>
  <si>
    <t>说明：</t>
  </si>
  <si>
    <t>红色及黄色底色部分需要手工填写，为了顾及每月非固定工资及不按标准交金的情况，所以没有自动计算</t>
  </si>
  <si>
    <t>抵扣非常重要，同样的数据，在有或没有抵扣的情况下差别巨大（红色部分）</t>
  </si>
  <si>
    <t>本计算器严格按照税法说明进行计算，并按月度统计计算结果</t>
  </si>
  <si>
    <t>年终可以选择按新税法计入年薪合并计算，也可选择沿用优惠政策（差别巨大）</t>
  </si>
  <si>
    <t>年终优惠2019和2018单独填写计算，以方便对比</t>
  </si>
  <si>
    <t>本计算器依赖于VBA（宏），请允许VBA（宏）运行</t>
  </si>
  <si>
    <t>Sleepy</t>
  </si>
  <si>
    <t>四月</t>
    <phoneticPr fontId="1" type="noConversion"/>
  </si>
  <si>
    <t>2018的计算方法以2018年10月份调整之后的起征点及税率为准</t>
    <phoneticPr fontId="1" type="noConversion"/>
  </si>
  <si>
    <t>&lt;-非自动计算，请注意填写此项</t>
    <phoneticPr fontId="1" type="noConversion"/>
  </si>
  <si>
    <t>&lt;-缴纳标准仅供参考</t>
    <phoneticPr fontId="1" type="noConversion"/>
  </si>
</sst>
</file>

<file path=xl/styles.xml><?xml version="1.0" encoding="utf-8"?>
<styleSheet xmlns="http://schemas.openxmlformats.org/spreadsheetml/2006/main">
  <fonts count="2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0" xfId="0" applyFill="1"/>
    <xf numFmtId="0" fontId="0" fillId="0" borderId="0" xfId="0" applyFill="1"/>
    <xf numFmtId="9" fontId="0" fillId="0" borderId="0" xfId="0" applyNumberFormat="1"/>
    <xf numFmtId="10" fontId="0" fillId="0" borderId="0" xfId="0" applyNumberFormat="1"/>
    <xf numFmtId="0" fontId="0" fillId="3" borderId="0" xfId="0" applyFill="1"/>
    <xf numFmtId="0" fontId="0" fillId="0" borderId="0" xfId="0" applyAlignment="1">
      <alignment wrapText="1"/>
    </xf>
    <xf numFmtId="14" fontId="0" fillId="0" borderId="0" xfId="0" applyNumberFormat="1"/>
    <xf numFmtId="0" fontId="0" fillId="0" borderId="0" xfId="0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Q40"/>
  <sheetViews>
    <sheetView tabSelected="1" topLeftCell="B1" workbookViewId="0">
      <selection activeCell="G21" sqref="G21"/>
    </sheetView>
  </sheetViews>
  <sheetFormatPr defaultRowHeight="14"/>
  <cols>
    <col min="2" max="2" width="34" bestFit="1" customWidth="1"/>
    <col min="3" max="3" width="9" customWidth="1"/>
    <col min="4" max="5" width="9.58203125" bestFit="1" customWidth="1"/>
    <col min="8" max="9" width="10" customWidth="1"/>
    <col min="10" max="10" width="9.1640625" customWidth="1"/>
    <col min="14" max="14" width="9.58203125" bestFit="1" customWidth="1"/>
  </cols>
  <sheetData>
    <row r="1" spans="1:17">
      <c r="C1" t="s">
        <v>33</v>
      </c>
      <c r="D1" t="s">
        <v>34</v>
      </c>
      <c r="E1" t="s">
        <v>35</v>
      </c>
      <c r="F1" t="s">
        <v>36</v>
      </c>
      <c r="G1" t="s">
        <v>37</v>
      </c>
      <c r="J1" t="s">
        <v>38</v>
      </c>
    </row>
    <row r="2" spans="1:17">
      <c r="B2" s="2" t="s">
        <v>25</v>
      </c>
      <c r="C2" s="3">
        <v>0.04</v>
      </c>
      <c r="D2" s="3">
        <v>0.02</v>
      </c>
      <c r="E2" s="4">
        <v>5.0000000000000001E-3</v>
      </c>
      <c r="F2" s="3">
        <v>0.08</v>
      </c>
      <c r="G2" s="4">
        <v>0.14499999999999999</v>
      </c>
      <c r="H2" s="2" t="s">
        <v>51</v>
      </c>
      <c r="J2" s="5">
        <f>12000 * 0.145</f>
        <v>1739.9999999999998</v>
      </c>
      <c r="K2" t="s">
        <v>50</v>
      </c>
      <c r="L2" s="2"/>
    </row>
    <row r="3" spans="1:17">
      <c r="C3" s="2" t="s">
        <v>0</v>
      </c>
      <c r="D3" s="2" t="s">
        <v>1</v>
      </c>
      <c r="E3" s="2" t="s">
        <v>28</v>
      </c>
      <c r="F3" s="2" t="s">
        <v>29</v>
      </c>
      <c r="G3" s="2" t="s">
        <v>30</v>
      </c>
      <c r="H3" s="2" t="s">
        <v>31</v>
      </c>
      <c r="J3" t="s">
        <v>39</v>
      </c>
    </row>
    <row r="4" spans="1:17">
      <c r="B4" t="s">
        <v>26</v>
      </c>
      <c r="C4" s="2" t="s">
        <v>32</v>
      </c>
      <c r="D4" s="2">
        <v>1000</v>
      </c>
      <c r="E4" s="2"/>
      <c r="F4" s="2">
        <v>1000</v>
      </c>
      <c r="G4" s="2">
        <v>1200</v>
      </c>
      <c r="H4" s="2">
        <v>2000</v>
      </c>
      <c r="J4" s="5">
        <v>4000</v>
      </c>
    </row>
    <row r="5" spans="1:17">
      <c r="C5" s="2"/>
      <c r="D5" s="2"/>
      <c r="E5" s="2"/>
      <c r="F5" s="2"/>
      <c r="G5" s="2"/>
      <c r="H5" s="2"/>
    </row>
    <row r="7" spans="1:17">
      <c r="C7" t="s">
        <v>2</v>
      </c>
      <c r="D7" t="s">
        <v>3</v>
      </c>
      <c r="E7" t="s">
        <v>4</v>
      </c>
      <c r="F7" t="s">
        <v>48</v>
      </c>
      <c r="G7" t="s">
        <v>5</v>
      </c>
      <c r="H7" t="s">
        <v>6</v>
      </c>
      <c r="I7" t="s">
        <v>7</v>
      </c>
      <c r="J7" t="s">
        <v>8</v>
      </c>
      <c r="K7" t="s">
        <v>9</v>
      </c>
      <c r="L7" t="s">
        <v>10</v>
      </c>
      <c r="M7" t="s">
        <v>11</v>
      </c>
      <c r="N7" t="s">
        <v>12</v>
      </c>
      <c r="O7" t="s">
        <v>13</v>
      </c>
      <c r="Q7" t="s">
        <v>14</v>
      </c>
    </row>
    <row r="8" spans="1:17">
      <c r="B8" t="s">
        <v>16</v>
      </c>
      <c r="C8" s="1">
        <v>12000</v>
      </c>
      <c r="D8" s="1">
        <v>12000</v>
      </c>
      <c r="E8" s="1">
        <v>12000</v>
      </c>
      <c r="F8" s="1">
        <v>12000</v>
      </c>
      <c r="G8" s="1">
        <v>12000</v>
      </c>
      <c r="H8" s="1">
        <v>12000</v>
      </c>
      <c r="I8" s="1">
        <v>12000</v>
      </c>
      <c r="J8" s="1">
        <v>12000</v>
      </c>
      <c r="K8" s="1">
        <v>12000</v>
      </c>
      <c r="L8" s="1">
        <v>12000</v>
      </c>
      <c r="M8" s="1">
        <v>12000</v>
      </c>
      <c r="N8" s="1">
        <v>12000</v>
      </c>
      <c r="Q8" s="8">
        <f>SUM(C8:O8)+SUM(C9:N9)</f>
        <v>144000</v>
      </c>
    </row>
    <row r="9" spans="1:17">
      <c r="B9" t="s">
        <v>23</v>
      </c>
      <c r="C9" s="1">
        <v>0</v>
      </c>
      <c r="D9" s="1">
        <v>0</v>
      </c>
      <c r="E9" s="1">
        <v>0</v>
      </c>
      <c r="F9" s="1">
        <v>0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24000</v>
      </c>
      <c r="Q9" s="8"/>
    </row>
    <row r="10" spans="1:17">
      <c r="B10" t="s">
        <v>15</v>
      </c>
      <c r="C10">
        <f>C8+C9</f>
        <v>12000</v>
      </c>
      <c r="D10">
        <f>C10+D8+D9</f>
        <v>24000</v>
      </c>
      <c r="E10">
        <f>D10+E8+E9</f>
        <v>36000</v>
      </c>
      <c r="F10">
        <f t="shared" ref="F10:L10" si="0">E10+F8+F9</f>
        <v>48000</v>
      </c>
      <c r="G10">
        <f t="shared" si="0"/>
        <v>60000</v>
      </c>
      <c r="H10">
        <f t="shared" si="0"/>
        <v>72000</v>
      </c>
      <c r="I10">
        <f t="shared" si="0"/>
        <v>84000</v>
      </c>
      <c r="J10">
        <f t="shared" si="0"/>
        <v>96000</v>
      </c>
      <c r="K10">
        <f t="shared" si="0"/>
        <v>108000</v>
      </c>
      <c r="L10">
        <f t="shared" si="0"/>
        <v>120000</v>
      </c>
      <c r="M10">
        <f>L10+M8+M9</f>
        <v>132000</v>
      </c>
      <c r="N10">
        <f>M10+N8+N9</f>
        <v>144000</v>
      </c>
    </row>
    <row r="11" spans="1:17">
      <c r="B11" t="s">
        <v>24</v>
      </c>
      <c r="C11">
        <v>5000</v>
      </c>
      <c r="D11">
        <v>5000</v>
      </c>
      <c r="E11">
        <v>5000</v>
      </c>
      <c r="F11">
        <v>5000</v>
      </c>
      <c r="G11">
        <v>5000</v>
      </c>
      <c r="H11">
        <v>5000</v>
      </c>
      <c r="I11">
        <v>5000</v>
      </c>
      <c r="J11">
        <v>5000</v>
      </c>
      <c r="K11">
        <v>5000</v>
      </c>
      <c r="L11">
        <v>5000</v>
      </c>
      <c r="M11">
        <v>5000</v>
      </c>
      <c r="N11">
        <v>5000</v>
      </c>
    </row>
    <row r="12" spans="1:17">
      <c r="B12" t="s">
        <v>18</v>
      </c>
      <c r="C12">
        <v>5000</v>
      </c>
      <c r="D12">
        <v>10000</v>
      </c>
      <c r="E12">
        <v>15000</v>
      </c>
      <c r="F12">
        <v>20000</v>
      </c>
      <c r="G12">
        <v>25000</v>
      </c>
      <c r="H12">
        <v>30000</v>
      </c>
      <c r="I12">
        <v>35000</v>
      </c>
      <c r="J12">
        <v>40000</v>
      </c>
      <c r="K12">
        <v>45000</v>
      </c>
      <c r="L12">
        <v>50000</v>
      </c>
      <c r="M12">
        <v>55000</v>
      </c>
      <c r="N12">
        <v>60000</v>
      </c>
    </row>
    <row r="13" spans="1:17">
      <c r="B13" t="s">
        <v>25</v>
      </c>
      <c r="C13" s="2">
        <f>J2</f>
        <v>1739.9999999999998</v>
      </c>
      <c r="D13" s="2">
        <f>J2</f>
        <v>1739.9999999999998</v>
      </c>
      <c r="E13" s="2">
        <f>J2</f>
        <v>1739.9999999999998</v>
      </c>
      <c r="F13" s="2">
        <f>J2</f>
        <v>1739.9999999999998</v>
      </c>
      <c r="G13" s="2">
        <f>J2</f>
        <v>1739.9999999999998</v>
      </c>
      <c r="H13" s="2">
        <f>J2</f>
        <v>1739.9999999999998</v>
      </c>
      <c r="I13" s="2">
        <f>J2</f>
        <v>1739.9999999999998</v>
      </c>
      <c r="J13" s="2">
        <f>J2</f>
        <v>1739.9999999999998</v>
      </c>
      <c r="K13" s="2">
        <f>J2</f>
        <v>1739.9999999999998</v>
      </c>
      <c r="L13" s="2">
        <f>J2</f>
        <v>1739.9999999999998</v>
      </c>
      <c r="M13" s="2">
        <f>J2</f>
        <v>1739.9999999999998</v>
      </c>
      <c r="N13" s="2">
        <f>J2</f>
        <v>1739.9999999999998</v>
      </c>
    </row>
    <row r="14" spans="1:17">
      <c r="B14" t="s">
        <v>19</v>
      </c>
      <c r="C14" s="2">
        <f>SUM(C13)</f>
        <v>1739.9999999999998</v>
      </c>
      <c r="D14" s="2">
        <f>SUM(D13,C14)</f>
        <v>3479.9999999999995</v>
      </c>
      <c r="E14" s="2">
        <f t="shared" ref="E14:N14" si="1">SUM(E13,D14)</f>
        <v>5219.9999999999991</v>
      </c>
      <c r="F14" s="2">
        <f t="shared" si="1"/>
        <v>6959.9999999999991</v>
      </c>
      <c r="G14" s="2">
        <f t="shared" si="1"/>
        <v>8699.9999999999982</v>
      </c>
      <c r="H14" s="2">
        <f t="shared" si="1"/>
        <v>10439.999999999998</v>
      </c>
      <c r="I14" s="2">
        <f t="shared" si="1"/>
        <v>12179.999999999998</v>
      </c>
      <c r="J14" s="2">
        <f t="shared" si="1"/>
        <v>13919.999999999998</v>
      </c>
      <c r="K14" s="2">
        <f t="shared" si="1"/>
        <v>15659.999999999998</v>
      </c>
      <c r="L14" s="2">
        <f t="shared" si="1"/>
        <v>17399.999999999996</v>
      </c>
      <c r="M14" s="2">
        <f t="shared" si="1"/>
        <v>19139.999999999996</v>
      </c>
      <c r="N14" s="2">
        <f t="shared" si="1"/>
        <v>20879.999999999996</v>
      </c>
    </row>
    <row r="15" spans="1:17">
      <c r="A15" s="8">
        <v>2019</v>
      </c>
      <c r="B15" t="s">
        <v>26</v>
      </c>
      <c r="C15" s="2">
        <f>J4</f>
        <v>4000</v>
      </c>
      <c r="D15" s="2">
        <f>J4</f>
        <v>4000</v>
      </c>
      <c r="E15" s="2">
        <f>J4</f>
        <v>4000</v>
      </c>
      <c r="F15" s="2">
        <f>J4</f>
        <v>4000</v>
      </c>
      <c r="G15" s="2">
        <f>J4</f>
        <v>4000</v>
      </c>
      <c r="H15" s="2">
        <f>J4</f>
        <v>4000</v>
      </c>
      <c r="I15" s="2">
        <f>J4</f>
        <v>4000</v>
      </c>
      <c r="J15" s="2">
        <f>J4</f>
        <v>4000</v>
      </c>
      <c r="K15" s="2">
        <f>J4</f>
        <v>4000</v>
      </c>
      <c r="L15" s="2">
        <f>J4</f>
        <v>4000</v>
      </c>
      <c r="M15" s="2">
        <f>J4</f>
        <v>4000</v>
      </c>
      <c r="N15" s="2">
        <f>J4</f>
        <v>4000</v>
      </c>
    </row>
    <row r="16" spans="1:17">
      <c r="A16" s="8"/>
      <c r="B16" t="s">
        <v>27</v>
      </c>
      <c r="C16" s="2">
        <f>SUM(C15)</f>
        <v>4000</v>
      </c>
      <c r="D16" s="2">
        <f>SUM(C15:D15)</f>
        <v>8000</v>
      </c>
      <c r="E16" s="2">
        <f>SUM(C15:E15)</f>
        <v>12000</v>
      </c>
      <c r="F16" s="2">
        <f>SUM(C15:F15)</f>
        <v>16000</v>
      </c>
      <c r="G16" s="2">
        <f>SUM(C15:G15)</f>
        <v>20000</v>
      </c>
      <c r="H16" s="2">
        <f>SUM(C15:H15)</f>
        <v>24000</v>
      </c>
      <c r="I16" s="2">
        <f>SUM(C15:I15)</f>
        <v>28000</v>
      </c>
      <c r="J16" s="2">
        <f>SUM(C15:J15)</f>
        <v>32000</v>
      </c>
      <c r="K16" s="2">
        <f>SUM(C15:K15)</f>
        <v>36000</v>
      </c>
      <c r="L16" s="2">
        <f>SUM(C15:L15)</f>
        <v>40000</v>
      </c>
      <c r="M16" s="2">
        <f>SUM(C15:M15)</f>
        <v>44000</v>
      </c>
      <c r="N16" s="2">
        <f>SUM(C15:N15)</f>
        <v>48000</v>
      </c>
    </row>
    <row r="17" spans="1:17">
      <c r="A17" s="8"/>
      <c r="B17" t="s">
        <v>20</v>
      </c>
      <c r="C17">
        <f>C10-C12-C14-C16</f>
        <v>1260</v>
      </c>
      <c r="D17">
        <f>D10-D12-D14-D16</f>
        <v>2520</v>
      </c>
      <c r="E17">
        <f>E10-E12-E14-E16</f>
        <v>3780</v>
      </c>
      <c r="F17">
        <f t="shared" ref="F17:M17" si="2">F10-F12-F14-F16</f>
        <v>5040</v>
      </c>
      <c r="G17">
        <f t="shared" si="2"/>
        <v>6300</v>
      </c>
      <c r="H17">
        <f t="shared" si="2"/>
        <v>7560</v>
      </c>
      <c r="I17">
        <f t="shared" si="2"/>
        <v>8820</v>
      </c>
      <c r="J17">
        <f t="shared" si="2"/>
        <v>10080</v>
      </c>
      <c r="K17">
        <f t="shared" si="2"/>
        <v>11340</v>
      </c>
      <c r="L17">
        <f t="shared" si="2"/>
        <v>12600</v>
      </c>
      <c r="M17">
        <f t="shared" si="2"/>
        <v>13860</v>
      </c>
      <c r="N17">
        <f>N10-N12-N14-N16</f>
        <v>15120</v>
      </c>
    </row>
    <row r="18" spans="1:17">
      <c r="A18" s="8"/>
      <c r="B18" t="s">
        <v>21</v>
      </c>
      <c r="C18">
        <f>TAX_2019_TABLE(C17)</f>
        <v>37.799999999999997</v>
      </c>
      <c r="D18">
        <f t="shared" ref="D18:M18" si="3">TAX_2019_TABLE(D17)</f>
        <v>75.599999999999994</v>
      </c>
      <c r="E18">
        <f t="shared" si="3"/>
        <v>113.39999999999999</v>
      </c>
      <c r="F18">
        <f t="shared" si="3"/>
        <v>151.19999999999999</v>
      </c>
      <c r="G18">
        <f t="shared" si="3"/>
        <v>189</v>
      </c>
      <c r="H18">
        <f t="shared" si="3"/>
        <v>226.79999999999998</v>
      </c>
      <c r="I18">
        <f t="shared" si="3"/>
        <v>264.59999999999997</v>
      </c>
      <c r="J18">
        <f t="shared" si="3"/>
        <v>302.39999999999998</v>
      </c>
      <c r="K18">
        <f t="shared" si="3"/>
        <v>340.2</v>
      </c>
      <c r="L18">
        <f>TAX_2019_TABLE(L17)</f>
        <v>378</v>
      </c>
      <c r="M18">
        <f t="shared" si="3"/>
        <v>415.8</v>
      </c>
      <c r="N18">
        <f>TAX_2019_TABLE(N17)</f>
        <v>453.59999999999997</v>
      </c>
    </row>
    <row r="19" spans="1:17">
      <c r="A19" s="8"/>
      <c r="B19" t="s">
        <v>17</v>
      </c>
      <c r="C19">
        <f>C18</f>
        <v>37.799999999999997</v>
      </c>
      <c r="D19">
        <f>D18-C19</f>
        <v>37.799999999999997</v>
      </c>
      <c r="E19">
        <f>E18-D19-C19</f>
        <v>37.799999999999997</v>
      </c>
      <c r="F19">
        <f>F18-E19-D19-C19</f>
        <v>37.799999999999997</v>
      </c>
      <c r="G19">
        <f>G18-F19-E19-D19-C19</f>
        <v>37.799999999999997</v>
      </c>
      <c r="H19">
        <f>H18-G19-F19-E19-D19-C19</f>
        <v>37.799999999999997</v>
      </c>
      <c r="I19">
        <f>I18-SUM(C19:H19)</f>
        <v>37.799999999999955</v>
      </c>
      <c r="J19">
        <f>J18-SUM(C19:I19)</f>
        <v>37.800000000000011</v>
      </c>
      <c r="K19">
        <f>K18-SUM(C19:J19)</f>
        <v>37.800000000000011</v>
      </c>
      <c r="L19">
        <f>L18-SUM(C19:K19)</f>
        <v>37.800000000000011</v>
      </c>
      <c r="M19">
        <f>M18-SUM(C19:L19)</f>
        <v>37.800000000000011</v>
      </c>
      <c r="N19">
        <f>N18-SUM(C19:M19)</f>
        <v>37.799999999999955</v>
      </c>
      <c r="O19">
        <f>O9 * TAX_2018_RATIO(O9/12)</f>
        <v>720</v>
      </c>
      <c r="Q19">
        <f>SUM(C19:O19)</f>
        <v>1173.5999999999999</v>
      </c>
    </row>
    <row r="22" spans="1:17">
      <c r="O22" t="s">
        <v>13</v>
      </c>
    </row>
    <row r="23" spans="1:17">
      <c r="A23" s="8">
        <v>2018</v>
      </c>
      <c r="B23" t="s">
        <v>22</v>
      </c>
      <c r="C23">
        <f>C8-C11-C13</f>
        <v>5260</v>
      </c>
      <c r="D23">
        <f>D8-D11-D13</f>
        <v>5260</v>
      </c>
      <c r="E23">
        <f t="shared" ref="E23:N23" si="4">E8-E11-E13</f>
        <v>5260</v>
      </c>
      <c r="F23">
        <f t="shared" si="4"/>
        <v>5260</v>
      </c>
      <c r="G23">
        <f t="shared" si="4"/>
        <v>5260</v>
      </c>
      <c r="H23">
        <f t="shared" si="4"/>
        <v>5260</v>
      </c>
      <c r="I23">
        <f t="shared" si="4"/>
        <v>5260</v>
      </c>
      <c r="J23">
        <f t="shared" si="4"/>
        <v>5260</v>
      </c>
      <c r="K23">
        <f t="shared" si="4"/>
        <v>5260</v>
      </c>
      <c r="L23">
        <f t="shared" si="4"/>
        <v>5260</v>
      </c>
      <c r="M23">
        <f t="shared" si="4"/>
        <v>5260</v>
      </c>
      <c r="N23">
        <f t="shared" si="4"/>
        <v>5260</v>
      </c>
      <c r="O23" s="1">
        <v>24000</v>
      </c>
    </row>
    <row r="24" spans="1:17">
      <c r="A24" s="8"/>
      <c r="B24" t="s">
        <v>17</v>
      </c>
      <c r="C24">
        <f>TAX_2018_TABLE(C23)</f>
        <v>316</v>
      </c>
      <c r="D24">
        <f t="shared" ref="D24:N24" si="5">TAX_2018_TABLE(D23)</f>
        <v>316</v>
      </c>
      <c r="E24">
        <f t="shared" si="5"/>
        <v>316</v>
      </c>
      <c r="F24">
        <f t="shared" si="5"/>
        <v>316</v>
      </c>
      <c r="G24">
        <f t="shared" si="5"/>
        <v>316</v>
      </c>
      <c r="H24">
        <f t="shared" si="5"/>
        <v>316</v>
      </c>
      <c r="I24">
        <f t="shared" si="5"/>
        <v>316</v>
      </c>
      <c r="J24">
        <f t="shared" si="5"/>
        <v>316</v>
      </c>
      <c r="K24">
        <f t="shared" si="5"/>
        <v>316</v>
      </c>
      <c r="L24">
        <f t="shared" si="5"/>
        <v>316</v>
      </c>
      <c r="M24">
        <f t="shared" si="5"/>
        <v>316</v>
      </c>
      <c r="N24">
        <f t="shared" si="5"/>
        <v>316</v>
      </c>
      <c r="O24">
        <f>O23 * TAX_2018_RATIO(O23/12)</f>
        <v>720</v>
      </c>
      <c r="Q24">
        <f>SUM(C24:O24)</f>
        <v>4512</v>
      </c>
    </row>
    <row r="30" spans="1:17">
      <c r="B30" s="6" t="s">
        <v>40</v>
      </c>
    </row>
    <row r="31" spans="1:17" ht="13.5" customHeight="1">
      <c r="B31" t="s">
        <v>46</v>
      </c>
    </row>
    <row r="32" spans="1:17">
      <c r="B32" t="s">
        <v>43</v>
      </c>
    </row>
    <row r="33" spans="2:2">
      <c r="B33" t="s">
        <v>49</v>
      </c>
    </row>
    <row r="34" spans="2:2">
      <c r="B34" t="s">
        <v>41</v>
      </c>
    </row>
    <row r="35" spans="2:2">
      <c r="B35" t="s">
        <v>42</v>
      </c>
    </row>
    <row r="36" spans="2:2">
      <c r="B36" t="s">
        <v>44</v>
      </c>
    </row>
    <row r="37" spans="2:2">
      <c r="B37" t="s">
        <v>45</v>
      </c>
    </row>
    <row r="39" spans="2:2">
      <c r="B39" t="s">
        <v>47</v>
      </c>
    </row>
    <row r="40" spans="2:2">
      <c r="B40" s="7">
        <v>43475</v>
      </c>
    </row>
  </sheetData>
  <mergeCells count="3">
    <mergeCell ref="A15:A19"/>
    <mergeCell ref="A23:A24"/>
    <mergeCell ref="Q8:Q9"/>
  </mergeCells>
  <phoneticPr fontId="1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Manager/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2019-01-10T13:42:13Z</dcterms:modified>
</cp:coreProperties>
</file>